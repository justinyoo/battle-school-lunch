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0" xWindow="240" yWindow="105" windowWidth="14805" windowHeight="8010" tabRatio="600"/>
  </bookViews>
  <sheets>
    <sheet name="점수표" sheetId="1" r:id="rId1" state="visible"/>
  </sheets>
  <calcPr calcId="122211"/>
</workbook>
</file>

<file path=xl/sharedStrings.xml><?xml version="1.0" encoding="utf-8"?>
<sst xmlns="http://schemas.openxmlformats.org/spreadsheetml/2006/main" count="26" uniqueCount="26">
  <si>
    <t>급식배틀 루브릭 시뮬레이터</t>
    <phoneticPr fontId="1"/>
  </si>
  <si>
    <t>노란 셀(학교 이름 · 현재 가중치 · 점수)을 바꾸면 총점과 승자가 다시 계산됩니다</t>
    <phoneticPr fontId="1"/>
  </si>
  <si>
    <t>평가 영역</t>
    <phoneticPr fontId="1"/>
  </si>
  <si>
    <t>가중치</t>
    <phoneticPr fontId="1"/>
  </si>
  <si>
    <t>점수 (1~5)</t>
    <phoneticPr fontId="1"/>
  </si>
  <si>
    <t>환산 점수 (100점 만점)</t>
    <phoneticPr fontId="1"/>
  </si>
  <si>
    <t>기본</t>
    <phoneticPr fontId="1"/>
  </si>
  <si>
    <t>현재</t>
    <phoneticPr fontId="1"/>
  </si>
  <si>
    <t>부광고등학교</t>
    <phoneticPr fontId="1"/>
  </si>
  <si>
    <t>용강초등학교</t>
    <phoneticPr fontId="1"/>
  </si>
  <si>
    <t>영양·건강성</t>
    <phoneticPr fontId="1"/>
  </si>
  <si>
    <t>식재료 품질·안전성</t>
    <phoneticPr fontId="1"/>
  </si>
  <si>
    <t>메뉴 다양성·기호도</t>
    <phoneticPr fontId="1"/>
  </si>
  <si>
    <t>지속가능성·가격 가치</t>
    <phoneticPr fontId="1"/>
  </si>
  <si>
    <t>합계</t>
    <phoneticPr fontId="1"/>
  </si>
  <si>
    <t>승부 결과</t>
    <phoneticPr fontId="1"/>
  </si>
  <si>
    <t>항목</t>
    <phoneticPr fontId="1"/>
  </si>
  <si>
    <t>기본 가중치</t>
    <phoneticPr fontId="1"/>
  </si>
  <si>
    <t>현재 가중치</t>
    <phoneticPr fontId="1"/>
  </si>
  <si>
    <t>변화</t>
    <phoneticPr fontId="1"/>
  </si>
  <si>
    <t>승자</t>
    <phoneticPr fontId="1"/>
  </si>
  <si>
    <t>점수 차</t>
    <phoneticPr fontId="1"/>
  </si>
  <si>
    <t>계산 방식</t>
    <phoneticPr fontId="1"/>
  </si>
  <si>
    <t>• 앱 공식 (rubric.py): 영역 환산 점수 = 획득 점수 ÷ 5 × 가중치, 총점 = 네 영역의 합</t>
    <phoneticPr fontId="1"/>
  </si>
  <si>
    <t>• 현재 가중치 합계가 100이 아니어도 100점 만점으로 정규화해 비교합니다</t>
    <phoneticPr fontId="1"/>
  </si>
  <si>
    <t>• 브라우저의 완료된 분석 결과에서 옮긴 점수입니다. 분석 대상 날짜와 상세 평가 근거는 제공된 화면에 없어 포함하지 않았습니다.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</si>
</sst>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+0.00;-0.00;0.00"/>
  </numFmts>
  <fonts count="13" x14ac:knownFonts="1">
    <font>
      <sz val="11"/>
      <color theme="1"/>
      <name val="Calibri"/>
      <family val="2"/>
      <scheme val="minor"/>
    </font>
    <font>
      <b/>
      <sz val="20"/>
      <color rgb="00FFFFFF"/>
      <name val="Malgun Gothic"/>
    </font>
    <font>
      <i/>
      <sz val="10"/>
      <color rgb="006B6B6B"/>
      <name val="Malgun Gothic"/>
    </font>
    <font>
      <b/>
      <sz val="11"/>
      <color rgb="00FFFFFF"/>
      <name val="Malgun Gothic"/>
    </font>
    <font>
      <b/>
      <sz val="11"/>
      <color rgb="00222222"/>
      <name val="Malgun Gothic"/>
    </font>
    <font>
      <sz val="11"/>
      <color rgb="00222222"/>
      <name val="Malgun Gothic"/>
    </font>
    <font>
      <sz val="11"/>
      <color rgb="006B6B6B"/>
      <name val="Malgun Gothic"/>
    </font>
    <font>
      <b/>
      <sz val="12"/>
      <color rgb="00222222"/>
      <name val="Malgun Gothic"/>
    </font>
    <font>
      <b/>
      <sz val="13"/>
      <color rgb="00FFFFFF"/>
      <name val="Malgun Gothic"/>
    </font>
    <font>
      <sz val="12"/>
      <color rgb="00222222"/>
      <name val="Malgun Gothic"/>
    </font>
    <font>
      <b/>
      <sz val="14"/>
      <color rgb="00222222"/>
      <name val="Malgun Gothic"/>
    </font>
    <font>
      <b/>
      <sz val="10"/>
      <color rgb="00222222"/>
      <name val="Malgun Gothic"/>
    </font>
    <font>
      <sz val="10"/>
      <color rgb="006B6B6B"/>
      <name val="Malgun Gothic"/>
    </font>
  </fonts>
  <fills count="7">
    <fill>
      <patternFill/>
    </fill>
    <fill>
      <patternFill patternType="gray125"/>
    </fill>
    <fill>
      <patternFill patternType="solid">
        <fgColor rgb="002F5D3A"/>
      </patternFill>
    </fill>
    <fill>
      <patternFill patternType="solid">
        <fgColor rgb="0037734C"/>
      </patternFill>
    </fill>
    <fill>
      <patternFill patternType="solid">
        <fgColor rgb="00DDEBDD"/>
      </patternFill>
    </fill>
    <fill>
      <patternFill patternType="solid">
        <fgColor rgb="00FFF4CC"/>
      </patternFill>
    </fill>
    <fill>
      <patternFill patternType="solid">
        <fgColor rgb="00EEF3EE"/>
      </patternFill>
    </fill>
  </fills>
  <borders count="2">
    <border>
      <left/>
      <right/>
      <top/>
      <bottom/>
      <diagonal/>
    </border>
    <border>
      <left style="thin">
        <color rgb="00B7C4B7"/>
      </left>
      <right style="thin">
        <color rgb="00B7C4B7"/>
      </right>
      <top style="thin">
        <color rgb="00B7C4B7"/>
      </top>
      <bottom style="thin">
        <color rgb="00B7C4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Alignment="1">
      <alignment horizontal="center" vertical="center" wrapText="1"/>
    </xf>
    <xf numFmtId="0" fontId="2" fillId="0" borderId="0" xfId="0" applyAlignment="1">
      <alignment horizontal="center" vertical="center" wrapText="1"/>
    </xf>
    <xf numFmtId="0" fontId="3" fillId="3" borderId="1" xfId="0" applyAlignment="1">
      <alignment horizontal="center" vertical="center" wrapText="1"/>
    </xf>
    <xf numFmtId="0" fontId="4" fillId="3" borderId="1" xfId="0" applyAlignment="1">
      <alignment horizontal="center" vertical="center" wrapText="1"/>
    </xf>
    <xf numFmtId="0" fontId="4" fillId="4" borderId="1" xfId="0" applyAlignment="1">
      <alignment horizontal="center" vertical="center" wrapText="1"/>
    </xf>
    <xf numFmtId="0" fontId="4" fillId="5" borderId="1" xfId="0" applyAlignment="1">
      <alignment horizontal="center" vertical="center" wrapText="1"/>
    </xf>
    <xf numFmtId="0" fontId="5" fillId="0" borderId="1" xfId="0" applyAlignment="1">
      <alignment horizontal="left" vertical="center" wrapText="1"/>
    </xf>
    <xf numFmtId="0" fontId="6" fillId="0" borderId="1" xfId="0" applyAlignment="1">
      <alignment horizontal="center" vertical="center" wrapText="1"/>
    </xf>
    <xf numFmtId="2" fontId="5" fillId="0" borderId="1" xfId="0" applyAlignment="1">
      <alignment horizontal="center" vertical="center" wrapText="1"/>
    </xf>
    <xf numFmtId="0" fontId="7" fillId="6" borderId="1" xfId="0" applyAlignment="1">
      <alignment horizontal="left" vertical="center" wrapText="1"/>
    </xf>
    <xf numFmtId="0" fontId="7" fillId="6" borderId="1" xfId="0" applyAlignment="1">
      <alignment horizontal="center" vertical="center" wrapText="1"/>
    </xf>
    <xf numFmtId="2" fontId="7" fillId="6" borderId="1" xfId="0" applyAlignment="1">
      <alignment horizontal="center" vertical="center" wrapText="1"/>
    </xf>
    <xf numFmtId="0" fontId="8" fillId="2" borderId="0" xfId="0" applyAlignment="1">
      <alignment horizontal="left" vertical="center" wrapText="1"/>
    </xf>
    <xf numFmtId="0" fontId="9" fillId="0" borderId="1" xfId="0" applyAlignment="1">
      <alignment horizontal="left" vertical="center" wrapText="1"/>
    </xf>
    <xf numFmtId="2" fontId="9" fillId="0" borderId="1" xfId="0" applyAlignment="1">
      <alignment horizontal="center" vertical="center" wrapText="1"/>
    </xf>
    <xf numFmtId="0" fontId="9" fillId="0" borderId="1" xfId="0" applyAlignment="1">
      <alignment horizontal="center" vertical="center" wrapText="1"/>
    </xf>
    <xf numFmtId="164" fontId="9" fillId="0" borderId="1" xfId="0" applyAlignment="1">
      <alignment horizontal="center" vertical="center" wrapText="1"/>
    </xf>
    <xf numFmtId="0" fontId="10" fillId="0" borderId="1" xfId="0" applyAlignment="1">
      <alignment horizontal="center" vertical="center" wrapText="1"/>
    </xf>
    <xf numFmtId="0" fontId="10" fillId="4" borderId="1" xfId="0" applyAlignment="1">
      <alignment horizontal="center" vertical="center" wrapText="1"/>
    </xf>
    <xf numFmtId="0" fontId="11" fillId="0" borderId="0" xfId="0"/>
    <xf numFmtId="0" fontId="12" fillId="0" borderId="0" xfId="0"/>
  </cellXfs>
  <cellStyles count="1">
    <cellStyle name="Normal" xfId="0" builtinId="0"/>
  </cellStyles>
  <dxfs count="4">
    <dxf>
      <font>
        <b/>
        <color rgb="00E8590C"/>
      </font>
      <fill>
        <patternFill patternType="solid">
          <fgColor rgb="00FFD8A8"/>
        </patternFill>
      </fill>
    </dxf>
    <dxf>
      <font>
        <b/>
        <color rgb="00E8590C"/>
      </font>
    </dxf>
    <dxf>
      <font>
        <b/>
        <color rgb="0037734C"/>
      </font>
    </dxf>
    <dxf>
      <font>
        <b/>
        <color rgb="00FFFFFF"/>
      </font>
      <fill>
        <patternFill patternType="solid">
          <fgColor rgb="00E8590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영역별 환산 점수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'점수표'!F4</f>
            </strRef>
          </tx>
          <spPr>
            <a:solidFill xmlns:a="http://schemas.openxmlformats.org/drawingml/2006/main">
              <a:srgbClr val="37734C"/>
            </a:solidFill>
            <a:ln xmlns:a="http://schemas.openxmlformats.org/drawingml/2006/main">
              <a:prstDash val="solid"/>
            </a:ln>
          </spPr>
          <cat>
            <numRef>
              <f>'점수표'!$A$5:$A$8</f>
            </numRef>
          </cat>
          <val>
            <numRef>
              <f>'점수표'!$F$5:$F$8</f>
            </numRef>
          </val>
        </ser>
        <ser>
          <idx val="1"/>
          <order val="1"/>
          <tx>
            <strRef>
              <f>'점수표'!G4</f>
            </strRef>
          </tx>
          <spPr>
            <a:solidFill xmlns:a="http://schemas.openxmlformats.org/drawingml/2006/main">
              <a:srgbClr val="E8590C"/>
            </a:solidFill>
            <a:ln xmlns:a="http://schemas.openxmlformats.org/drawingml/2006/main">
              <a:prstDash val="solid"/>
            </a:ln>
          </spPr>
          <cat>
            <numRef>
              <f>'점수표'!$A$5:$A$8</f>
            </numRef>
          </cat>
          <val>
            <numRef>
              <f>'점수표'!$G$5:$G$8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&amp;#xFF2D;&amp;#xFF33; &amp;#xFF30;&amp;#x30B4;&amp;#x30B7;&amp;#x30C3;&amp;#x30AF;"/>
        <a:font script="Hang" typeface="&amp;#xB9D1;&amp;#xC740; &amp;#xACE0;&amp;#xB515;"/>
        <a:font script="Hans" typeface="&amp;#x5B8B;&amp;#x4F53;"/>
        <a:font script="Hant" typeface="&amp;#x65B0;&amp;#x7D30;&amp;#x660E;&amp;#x9AD4;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&amp;#xFF2D;&amp;#xFF33; &amp;#xFF30;&amp;#x30B4;&amp;#x30B7;&amp;#x30C3;&amp;#x30AF;"/>
        <a:font script="Hang" typeface="&amp;#xB9D1;&amp;#xC740; &amp;#xACE0;&amp;#xB515;"/>
        <a:font script="Hans" typeface="&amp;#x5B8B;&amp;#x4F53;"/>
        <a:font script="Hant" typeface="&amp;#x65B0;&amp;#x7D30;&amp;#x660E;&amp;#x9AD4;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satMod val="300000"/>
                <a:tint val="50000"/>
              </a:schemeClr>
            </a:gs>
            <a:gs pos="35000">
              <a:schemeClr val="phClr">
                <a:satMod val="300000"/>
                <a:tint val="37000"/>
              </a:schemeClr>
            </a:gs>
            <a:gs pos="100000">
              <a:schemeClr val="phClr">
                <a:satMod val="350000"/>
                <a:tint val="15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atMod val="130000"/>
                <a:shade val="51000"/>
              </a:schemeClr>
            </a:gs>
            <a:gs pos="80000">
              <a:schemeClr val="phClr">
                <a:satMod val="130000"/>
                <a:shade val="93000"/>
              </a:schemeClr>
            </a:gs>
            <a:gs pos="100000">
              <a:schemeClr val="phClr">
                <a:satMod val="135000"/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atMod val="105000"/>
              <a:shade val="9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atMod val="350000"/>
                <a:tint val="40000"/>
              </a:schemeClr>
            </a:gs>
            <a:gs pos="40000">
              <a:schemeClr val="phClr">
                <a:satMod val="350000"/>
                <a:shade val="99000"/>
                <a:tint val="45000"/>
              </a:schemeClr>
            </a:gs>
            <a:gs pos="100000">
              <a:schemeClr val="phClr">
                <a:satMod val="255000"/>
                <a:shade val="20000"/>
              </a:schemeClr>
            </a:gs>
          </a:gsLst>
        </a:gradFill>
        <a:gradFill rotWithShape="1">
          <a:gsLst>
            <a:gs pos="0">
              <a:schemeClr val="phClr">
                <a:satMod val="300000"/>
                <a:tint val="80000"/>
              </a:schemeClr>
            </a:gs>
            <a:gs pos="100000">
              <a:schemeClr val="phClr">
                <a:satMod val="200000"/>
                <a:shade val="30000"/>
              </a:schemeClr>
            </a:gs>
          </a:gsLst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/xl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21"/>
  <sheetViews>
    <sheetView showGridLines="0" zoomScale="130" workbookViewId="0">
      <selection activeCell="A1" sqref="A1"/>
    </sheetView>
  </sheetViews>
  <sheetFormatPr baseColWidth="8" defaultRowHeight="15"/>
  <cols>
    <col min="1" max="1" width="24" customWidth="1"/>
    <col min="2" max="3" width="10" customWidth="1"/>
    <col min="4" max="5" width="13" customWidth="1"/>
    <col min="6" max="7" width="14" customWidth="1"/>
    <col min="8" max="8" width="3" customWidth="1"/>
  </cols>
  <sheetData>
    <row r="1" spans="1:1" ht="40" customHeight="1">
      <c r="A1" t="s" s="1">
        <v>0</v>
      </c>
    </row>
    <row r="2" spans="1:1" ht="22" customHeight="1">
      <c r="A2" t="s" s="2">
        <v>1</v>
      </c>
    </row>
    <row r="3" spans="1:7" ht="24" customHeight="1">
      <c r="A3" t="s" s="3">
        <v>2</v>
      </c>
      <c r="B3" t="s" s="3">
        <v>3</v>
      </c>
      <c r="C3" s="3"/>
      <c r="D3" t="s" s="3">
        <v>4</v>
      </c>
      <c r="E3" s="3"/>
      <c r="F3" t="s" s="3">
        <v>5</v>
      </c>
      <c r="G3" s="3"/>
    </row>
    <row r="4" spans="1:7" ht="24" customHeight="1">
      <c r="A4" s="4"/>
      <c r="B4" t="s" s="5">
        <v>6</v>
      </c>
      <c r="C4" t="s" s="5">
        <v>7</v>
      </c>
      <c r="D4" t="s" s="6">
        <v>8</v>
      </c>
      <c r="E4" t="s" s="6">
        <v>9</v>
      </c>
      <c r="F4" s="5" t="str">
        <f>D4</f>
        <v>부광고등학교</v>
      </c>
      <c r="G4" s="5" t="str">
        <f>E4</f>
        <v>용강초등학교</v>
      </c>
    </row>
    <row r="5" spans="1:7" ht="24" customHeight="1">
      <c r="A5" t="s" s="7">
        <v>10</v>
      </c>
      <c r="B5" s="8">
        <v>35</v>
      </c>
      <c r="C5" s="6">
        <v>35</v>
      </c>
      <c r="D5" s="6">
        <v>3</v>
      </c>
      <c r="E5" s="6">
        <v>3</v>
      </c>
      <c r="F5" s="9">
        <f>ROUND(D5/5*C5/C9*100,2)</f>
        <v>21.0</v>
      </c>
      <c r="G5" s="9">
        <f>ROUND(E5/5*C5/C9*100,2)</f>
        <v>21.0</v>
      </c>
    </row>
    <row r="6" spans="1:7" ht="24" customHeight="1">
      <c r="A6" t="s" s="7">
        <v>11</v>
      </c>
      <c r="B6" s="8">
        <v>25</v>
      </c>
      <c r="C6" s="6">
        <v>25</v>
      </c>
      <c r="D6" s="6">
        <v>4</v>
      </c>
      <c r="E6" s="6">
        <v>3</v>
      </c>
      <c r="F6" s="9">
        <f>ROUND(D6/5*C6/C9*100,2)</f>
        <v>20.0</v>
      </c>
      <c r="G6" s="9">
        <f>ROUND(E6/5*C6/C9*100,2)</f>
        <v>15.0</v>
      </c>
    </row>
    <row r="7" spans="1:7" ht="24" customHeight="1">
      <c r="A7" t="s" s="7">
        <v>12</v>
      </c>
      <c r="B7" s="8">
        <v>25</v>
      </c>
      <c r="C7" s="6">
        <v>25</v>
      </c>
      <c r="D7" s="6">
        <v>4</v>
      </c>
      <c r="E7" s="6">
        <v>4</v>
      </c>
      <c r="F7" s="9">
        <f>ROUND(D7/5*C7/C9*100,2)</f>
        <v>20.0</v>
      </c>
      <c r="G7" s="9">
        <f>ROUND(E7/5*C7/C9*100,2)</f>
        <v>20.0</v>
      </c>
    </row>
    <row r="8" spans="1:7" ht="24" customHeight="1">
      <c r="A8" t="s" s="7">
        <v>13</v>
      </c>
      <c r="B8" s="8">
        <v>15</v>
      </c>
      <c r="C8" s="6">
        <v>15</v>
      </c>
      <c r="D8" s="6">
        <v>3</v>
      </c>
      <c r="E8" s="6">
        <v>4</v>
      </c>
      <c r="F8" s="9">
        <f>ROUND(D8/5*C8/C9*100,2)</f>
        <v>9.0</v>
      </c>
      <c r="G8" s="9">
        <f>ROUND(E8/5*C8/C9*100,2)</f>
        <v>12.0</v>
      </c>
    </row>
    <row r="9" spans="1:7" ht="26" customHeight="1">
      <c r="A9" t="s" s="10">
        <v>14</v>
      </c>
      <c r="B9" s="11">
        <f>SUM(B5:B8)</f>
        <v>100.0</v>
      </c>
      <c r="C9" s="11">
        <f>SUM(C5:C8)</f>
        <v>100.0</v>
      </c>
      <c r="D9" s="11"/>
      <c r="E9" s="11"/>
      <c r="F9" s="12">
        <f>ROUND(SUM(F5:F8),2)</f>
        <v>70.0</v>
      </c>
      <c r="G9" s="12">
        <f>ROUND(SUM(G5:G8),2)</f>
        <v>68.0</v>
      </c>
    </row>
    <row r="11" spans="1:1" ht="28" customHeight="1">
      <c r="A11" t="s" s="13">
        <v>15</v>
      </c>
    </row>
    <row r="12" spans="1:7" ht="24" customHeight="1">
      <c r="A12" t="s" s="5">
        <v>16</v>
      </c>
      <c r="B12" t="s" s="5">
        <v>17</v>
      </c>
      <c r="C12" s="5"/>
      <c r="D12" t="s" s="5">
        <v>18</v>
      </c>
      <c r="E12" s="5"/>
      <c r="F12" t="s" s="5">
        <v>19</v>
      </c>
      <c r="G12" s="5"/>
    </row>
    <row r="13" spans="1:7" ht="26" customHeight="1">
      <c r="A13" s="14" t="str">
        <f>CONCATENATE(D4," 총점")</f>
        <v>부광고등학교 총점</v>
      </c>
      <c r="B13" s="15">
        <f>ROUND(SUMPRODUCT(D5:D8,B5:B8)/5/B9*100,2)</f>
        <v>70.0</v>
      </c>
      <c r="C13" s="16"/>
      <c r="D13" s="15">
        <f>F9</f>
        <v>70.0</v>
      </c>
      <c r="E13" s="16"/>
      <c r="F13" s="17">
        <f>ROUND(D13-B13,2)</f>
        <v>0.0</v>
      </c>
      <c r="G13" s="16"/>
    </row>
    <row r="14" spans="1:7" ht="26" customHeight="1">
      <c r="A14" s="14" t="str">
        <f>CONCATENATE(E4," 총점")</f>
        <v>용강초등학교 총점</v>
      </c>
      <c r="B14" s="15">
        <f>ROUND(SUMPRODUCT(E5:E8,B5:B8)/5/B9*100,2)</f>
        <v>68.0</v>
      </c>
      <c r="C14" s="16"/>
      <c r="D14" s="15">
        <f>G9</f>
        <v>68.0</v>
      </c>
      <c r="E14" s="16"/>
      <c r="F14" s="17">
        <f>ROUND(D14-B14,2)</f>
        <v>0.0</v>
      </c>
      <c r="G14" s="16"/>
    </row>
    <row r="15" spans="1:7" ht="32" customHeight="1">
      <c r="A15" t="s" s="14">
        <v>20</v>
      </c>
      <c r="B15" s="18" t="str">
        <f>IF(B13&gt;B14,D4,IF(B14&gt;B13,E4,"동점"))</f>
        <v>부광고등학교</v>
      </c>
      <c r="C15" s="16"/>
      <c r="D15" s="19" t="str">
        <f>IF(D13&gt;D14,D4,IF(D14&gt;D13,E4,"동점"))</f>
        <v>부광고등학교</v>
      </c>
      <c r="E15" s="16"/>
      <c r="F15" s="18" t="str">
        <f>IF(B15=D15,"그대로","뒤집힘!")</f>
        <v>그대로</v>
      </c>
      <c r="G15" s="16"/>
    </row>
    <row r="16" spans="1:7" ht="26" customHeight="1">
      <c r="A16" t="s" s="14">
        <v>21</v>
      </c>
      <c r="B16" s="15">
        <f>ROUND(ABS(B13-B14),2)</f>
        <v>2.0</v>
      </c>
      <c r="C16" s="16"/>
      <c r="D16" s="15">
        <f>ROUND(ABS(D13-D14),2)</f>
        <v>2.0</v>
      </c>
      <c r="E16" s="16"/>
      <c r="F16" s="17">
        <f>ROUND(D16-B16,2)</f>
        <v>0.0</v>
      </c>
      <c r="G16" s="16"/>
    </row>
    <row r="18" spans="1:1">
      <c r="A18" t="s" s="20">
        <v>22</v>
      </c>
    </row>
    <row r="19" spans="1:1">
      <c r="A19" t="s" s="21">
        <v>23</v>
      </c>
    </row>
    <row r="20" spans="1:1">
      <c r="A20" t="s" s="21">
        <v>24</v>
      </c>
    </row>
    <row r="21" spans="1:1">
      <c r="A21" t="s" s="21">
        <v>25</v>
      </c>
    </row>
  </sheetData>
  <mergeCells count="22">
    <mergeCell ref="B16:C16"/>
    <mergeCell ref="F16:G16"/>
    <mergeCell ref="B3:C3"/>
    <mergeCell ref="B12:C12"/>
    <mergeCell ref="F3:G3"/>
    <mergeCell ref="F12:G12"/>
    <mergeCell ref="F15:G15"/>
    <mergeCell ref="D13:E13"/>
    <mergeCell ref="A3:A4"/>
    <mergeCell ref="B14:C14"/>
    <mergeCell ref="A11:G11"/>
    <mergeCell ref="B13:C13"/>
    <mergeCell ref="D16:E16"/>
    <mergeCell ref="A1:G1"/>
    <mergeCell ref="F13:G13"/>
    <mergeCell ref="D3:E3"/>
    <mergeCell ref="D12:E12"/>
    <mergeCell ref="B15:C15"/>
    <mergeCell ref="D15:E15"/>
    <mergeCell ref="D14:E14"/>
    <mergeCell ref="A2:G2"/>
    <mergeCell ref="F14:G14"/>
  </mergeCells>
  <phoneticPr fontId="1"/>
  <conditionalFormatting sqref="C5:C8">
    <cfRule type="expression" dxfId="0" priority="1">
      <formula>C5&lt;&gt;B5</formula>
    </cfRule>
  </conditionalFormatting>
  <conditionalFormatting sqref="C9">
    <cfRule type="expression" dxfId="1" priority="2">
      <formula>C9&lt;&gt;100</formula>
    </cfRule>
  </conditionalFormatting>
  <conditionalFormatting sqref="F5:F9">
    <cfRule type="expression" dxfId="2" priority="3">
      <formula>F5&gt;G5</formula>
    </cfRule>
  </conditionalFormatting>
  <conditionalFormatting sqref="G5:G9">
    <cfRule type="expression" dxfId="2" priority="4">
      <formula>G5&gt;F5</formula>
    </cfRule>
  </conditionalFormatting>
  <conditionalFormatting sqref="F15">
    <cfRule type="expression" dxfId="3" priority="5">
      <formula>F15="뒤집힘!"</formula>
    </cfRule>
  </conditionalFormatting>
  <dataValidations count="2">
    <dataValidation type="whole" allowBlank="0" showInputMessage="1" operator="between" showErrorMessage="1" errorTitle="&amp;#51216;&amp;#49688; &amp;#48276;&amp;#50948;" error="&amp;#51216;&amp;#49688;&amp;#45716; 1~5 &amp;#49324;&amp;#51060; &amp;#51221;&amp;#49688;&amp;#47196; &amp;#51077;&amp;#47141;&amp;#54616;&amp;#49464;&amp;#50836;" promptTitle="&amp;#51216;&amp;#49688;" prompt="1~5 &amp;#49324;&amp;#51060; &amp;#51221;&amp;#49688;" sqref="D5:E8">
      <formula1>1</formula1>
      <formula2>5</formula2>
    </dataValidation>
    <dataValidation type="whole" allowBlank="0" showInputMessage="1" operator="between" showErrorMessage="1" errorTitle="&amp;#44032;&amp;#51473;&amp;#52824; &amp;#48276;&amp;#50948;" error="&amp;#44032;&amp;#51473;&amp;#52824;&amp;#45716; 0~100 &amp;#49324;&amp;#51060; &amp;#51221;&amp;#49688;&amp;#47196; &amp;#51077;&amp;#47141;&amp;#54616;&amp;#49464;&amp;#50836;" promptTitle="&amp;#44032;&amp;#51473;&amp;#52824;" prompt="0~100 &amp;#49324;&amp;#51060; &amp;#51221;&amp;#49688;" sqref="C5:C8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점수표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2026-10-18T08:17:21Z</dcterms:created>
  <dcterms:modified xsi:type="dcterms:W3CDTF">2026-10-18T08:17:21Z</dcterms:modified>
</cp:coreProperties>
</file>