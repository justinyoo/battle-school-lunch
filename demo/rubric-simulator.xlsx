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점수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;0.00"/>
  </numFmts>
  <fonts count="13">
    <font>
      <name val="Calibri"/>
      <family val="2"/>
      <color theme="1"/>
      <sz val="11"/>
      <scheme val="minor"/>
    </font>
    <font>
      <name val="Malgun Gothic"/>
      <b val="1"/>
      <color rgb="00FFFFFF"/>
      <sz val="20"/>
    </font>
    <font>
      <name val="Malgun Gothic"/>
      <i val="1"/>
      <color rgb="006B6B6B"/>
      <sz val="10"/>
    </font>
    <font>
      <name val="Malgun Gothic"/>
      <b val="1"/>
      <color rgb="00FFFFFF"/>
      <sz val="11"/>
    </font>
    <font>
      <name val="Malgun Gothic"/>
      <b val="1"/>
      <color rgb="00222222"/>
      <sz val="11"/>
    </font>
    <font>
      <name val="Malgun Gothic"/>
      <color rgb="00222222"/>
      <sz val="11"/>
    </font>
    <font>
      <name val="Malgun Gothic"/>
      <color rgb="006B6B6B"/>
      <sz val="11"/>
    </font>
    <font>
      <name val="Malgun Gothic"/>
      <b val="1"/>
      <color rgb="00222222"/>
      <sz val="12"/>
    </font>
    <font>
      <name val="Malgun Gothic"/>
      <b val="1"/>
      <color rgb="00FFFFFF"/>
      <sz val="13"/>
    </font>
    <font>
      <name val="Malgun Gothic"/>
      <color rgb="00222222"/>
      <sz val="12"/>
    </font>
    <font>
      <name val="Malgun Gothic"/>
      <b val="1"/>
      <color rgb="00222222"/>
      <sz val="14"/>
    </font>
    <font>
      <name val="Malgun Gothic"/>
      <b val="1"/>
      <color rgb="00222222"/>
      <sz val="10"/>
    </font>
    <font>
      <name val="Malgun Gothic"/>
      <color rgb="006B6B6B"/>
      <sz val="10"/>
    </font>
  </fonts>
  <fills count="7">
    <fill>
      <patternFill/>
    </fill>
    <fill>
      <patternFill patternType="gray125"/>
    </fill>
    <fill>
      <patternFill patternType="solid">
        <fgColor rgb="002F5D3A"/>
      </patternFill>
    </fill>
    <fill>
      <patternFill patternType="solid">
        <fgColor rgb="0037734C"/>
      </patternFill>
    </fill>
    <fill>
      <patternFill patternType="solid">
        <fgColor rgb="00DDEBDD"/>
      </patternFill>
    </fill>
    <fill>
      <patternFill patternType="solid">
        <fgColor rgb="00FFF4CC"/>
      </patternFill>
    </fill>
    <fill>
      <patternFill patternType="solid">
        <fgColor rgb="00EEF3EE"/>
      </patternFill>
    </fill>
  </fills>
  <borders count="2">
    <border>
      <left/>
      <right/>
      <top/>
      <bottom/>
      <diagonal/>
    </border>
    <border>
      <left style="thin">
        <color rgb="00B7C4B7"/>
      </left>
      <right style="thin">
        <color rgb="00B7C4B7"/>
      </right>
      <top style="thin">
        <color rgb="00B7C4B7"/>
      </top>
      <bottom style="thin">
        <color rgb="00B7C4B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2" fontId="7" fillId="6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2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dxfs count="4">
    <dxf>
      <font>
        <b val="1"/>
        <color rgb="00E8590C"/>
      </font>
      <fill>
        <patternFill patternType="solid">
          <fgColor rgb="00FFD8A8"/>
        </patternFill>
      </fill>
    </dxf>
    <dxf>
      <font>
        <b val="1"/>
        <color rgb="00E8590C"/>
      </font>
    </dxf>
    <dxf>
      <font>
        <b val="1"/>
        <color rgb="0037734C"/>
      </font>
    </dxf>
    <dxf>
      <font>
        <b val="1"/>
        <color rgb="00FFFFFF"/>
      </font>
      <fill>
        <patternFill patternType="solid">
          <fgColor rgb="00E8590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영역별 환산 점수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'점수표'!F4</f>
            </strRef>
          </tx>
          <spPr>
            <a:solidFill xmlns:a="http://schemas.openxmlformats.org/drawingml/2006/main">
              <a:srgbClr val="37734C"/>
            </a:solidFill>
            <a:ln xmlns:a="http://schemas.openxmlformats.org/drawingml/2006/main">
              <a:prstDash val="solid"/>
            </a:ln>
          </spPr>
          <cat>
            <numRef>
              <f>'점수표'!$A$5:$A$8</f>
            </numRef>
          </cat>
          <val>
            <numRef>
              <f>'점수표'!$F$5:$F$8</f>
            </numRef>
          </val>
        </ser>
        <ser>
          <idx val="1"/>
          <order val="1"/>
          <tx>
            <strRef>
              <f>'점수표'!G4</f>
            </strRef>
          </tx>
          <spPr>
            <a:solidFill xmlns:a="http://schemas.openxmlformats.org/drawingml/2006/main">
              <a:srgbClr val="E8590C"/>
            </a:solidFill>
            <a:ln xmlns:a="http://schemas.openxmlformats.org/drawingml/2006/main">
              <a:prstDash val="solid"/>
            </a:ln>
          </spPr>
          <cat>
            <numRef>
              <f>'점수표'!$A$5:$A$8</f>
            </numRef>
          </cat>
          <val>
            <numRef>
              <f>'점수표'!$G$5:$G$8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576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zoomScale="130"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3" customWidth="1" min="4" max="4"/>
    <col width="13" customWidth="1" min="5" max="5"/>
    <col width="14" customWidth="1" min="6" max="6"/>
    <col width="14" customWidth="1" min="7" max="7"/>
    <col width="3" customWidth="1" min="8" max="8"/>
  </cols>
  <sheetData>
    <row r="1" ht="40" customHeight="1">
      <c r="A1" s="1" t="inlineStr">
        <is>
          <t>급식배틀 루브릭 시뮬레이터</t>
        </is>
      </c>
    </row>
    <row r="2" ht="22" customHeight="1">
      <c r="A2" s="2" t="inlineStr">
        <is>
          <t>노란 셀(학교 이름 · 현재 가중치 · 점수)을 바꾸면 총점과 승자가 다시 계산됩니다</t>
        </is>
      </c>
    </row>
    <row r="3" ht="24" customHeight="1">
      <c r="A3" s="3" t="inlineStr">
        <is>
          <t>평가 영역</t>
        </is>
      </c>
      <c r="B3" s="3" t="inlineStr">
        <is>
          <t>가중치</t>
        </is>
      </c>
      <c r="C3" s="3" t="n"/>
      <c r="D3" s="3" t="inlineStr">
        <is>
          <t>점수 (1~5)</t>
        </is>
      </c>
      <c r="E3" s="3" t="n"/>
      <c r="F3" s="3" t="inlineStr">
        <is>
          <t>환산 점수 (100점 만점)</t>
        </is>
      </c>
      <c r="G3" s="3" t="n"/>
    </row>
    <row r="4" ht="24" customHeight="1">
      <c r="A4" s="4" t="n"/>
      <c r="B4" s="5" t="inlineStr">
        <is>
          <t>기본</t>
        </is>
      </c>
      <c r="C4" s="5" t="inlineStr">
        <is>
          <t>현재</t>
        </is>
      </c>
      <c r="D4" s="6" t="inlineStr">
        <is>
          <t>학교 A</t>
        </is>
      </c>
      <c r="E4" s="6" t="inlineStr">
        <is>
          <t>학교 B</t>
        </is>
      </c>
      <c r="F4" s="5" t="str">
        <f>D4</f>
        <v>학교 A</v>
      </c>
      <c r="G4" s="5" t="str">
        <f>E4</f>
        <v>학교 B</v>
      </c>
    </row>
    <row r="5" ht="24" customHeight="1">
      <c r="A5" s="7" t="inlineStr">
        <is>
          <t>영양·건강성</t>
        </is>
      </c>
      <c r="B5" s="8" t="n">
        <v>35</v>
      </c>
      <c r="C5" s="6" t="n">
        <v>35</v>
      </c>
      <c r="D5" s="6" t="n">
        <v>5</v>
      </c>
      <c r="E5" s="6" t="n">
        <v>3</v>
      </c>
      <c r="F5" s="9">
        <f>ROUND(D5/5*C5/C9*100,2)</f>
        <v>35</v>
      </c>
      <c r="G5" s="9">
        <f>ROUND(E5/5*C5/C9*100,2)</f>
        <v>21</v>
      </c>
    </row>
    <row r="6" ht="24" customHeight="1">
      <c r="A6" s="7" t="inlineStr">
        <is>
          <t>식재료 품질·안전성</t>
        </is>
      </c>
      <c r="B6" s="8" t="n">
        <v>25</v>
      </c>
      <c r="C6" s="6" t="n">
        <v>25</v>
      </c>
      <c r="D6" s="6" t="n">
        <v>3</v>
      </c>
      <c r="E6" s="6" t="n">
        <v>4</v>
      </c>
      <c r="F6" s="9">
        <f>ROUND(D6/5*C6/C9*100,2)</f>
        <v>15</v>
      </c>
      <c r="G6" s="9">
        <f>ROUND(E6/5*C6/C9*100,2)</f>
        <v>20</v>
      </c>
    </row>
    <row r="7" ht="24" customHeight="1">
      <c r="A7" s="7" t="inlineStr">
        <is>
          <t>메뉴 다양성·기호도</t>
        </is>
      </c>
      <c r="B7" s="8" t="n">
        <v>25</v>
      </c>
      <c r="C7" s="6" t="n">
        <v>25</v>
      </c>
      <c r="D7" s="6" t="n">
        <v>3</v>
      </c>
      <c r="E7" s="6" t="n">
        <v>4</v>
      </c>
      <c r="F7" s="9">
        <f>ROUND(D7/5*C7/C9*100,2)</f>
        <v>15</v>
      </c>
      <c r="G7" s="9">
        <f>ROUND(E7/5*C7/C9*100,2)</f>
        <v>20</v>
      </c>
    </row>
    <row r="8" ht="24" customHeight="1">
      <c r="A8" s="7" t="inlineStr">
        <is>
          <t>지속가능성·가격 가치</t>
        </is>
      </c>
      <c r="B8" s="8" t="n">
        <v>15</v>
      </c>
      <c r="C8" s="6" t="n">
        <v>15</v>
      </c>
      <c r="D8" s="6" t="n">
        <v>2</v>
      </c>
      <c r="E8" s="6" t="n">
        <v>5</v>
      </c>
      <c r="F8" s="9">
        <f>ROUND(D8/5*C8/C9*100,2)</f>
        <v>6</v>
      </c>
      <c r="G8" s="9">
        <f>ROUND(E8/5*C8/C9*100,2)</f>
        <v>15</v>
      </c>
    </row>
    <row r="9" ht="26" customHeight="1">
      <c r="A9" s="10" t="inlineStr">
        <is>
          <t>합계</t>
        </is>
      </c>
      <c r="B9" s="11">
        <f>SUM(B5:B8)</f>
        <v>100</v>
      </c>
      <c r="C9" s="11">
        <f>SUM(C5:C8)</f>
        <v>100</v>
      </c>
      <c r="D9" s="11" t="n"/>
      <c r="E9" s="11" t="n"/>
      <c r="F9" s="12">
        <f>ROUND(SUM(F5:F8),2)</f>
        <v>71</v>
      </c>
      <c r="G9" s="12">
        <f>ROUND(SUM(G5:G8),2)</f>
        <v>76</v>
      </c>
    </row>
    <row r="11" ht="28" customHeight="1">
      <c r="A11" s="13" t="inlineStr">
        <is>
          <t>승부 결과</t>
        </is>
      </c>
    </row>
    <row r="12" ht="24" customHeight="1">
      <c r="A12" s="5" t="inlineStr">
        <is>
          <t>항목</t>
        </is>
      </c>
      <c r="B12" s="5" t="inlineStr">
        <is>
          <t>기본 가중치</t>
        </is>
      </c>
      <c r="C12" s="5" t="n"/>
      <c r="D12" s="5" t="inlineStr">
        <is>
          <t>현재 가중치</t>
        </is>
      </c>
      <c r="E12" s="5" t="n"/>
      <c r="F12" s="5" t="inlineStr">
        <is>
          <t>변화</t>
        </is>
      </c>
      <c r="G12" s="5" t="n"/>
    </row>
    <row r="13" ht="26" customHeight="1">
      <c r="A13" s="14" t="str">
        <f>CONCATENATE(D4," 총점")</f>
        <v>학교 A 총점</v>
      </c>
      <c r="B13" s="15">
        <f>ROUND(SUMPRODUCT(D5:D8,B5:B8)/5/B9*100,2)</f>
        <v>71</v>
      </c>
      <c r="C13" s="16" t="n"/>
      <c r="D13" s="15">
        <f>F9</f>
        <v>71</v>
      </c>
      <c r="E13" s="16" t="n"/>
      <c r="F13" s="17">
        <f>ROUND(D13-B13,2)</f>
        <v>0</v>
      </c>
      <c r="G13" s="16" t="n"/>
    </row>
    <row r="14" ht="26" customHeight="1">
      <c r="A14" s="14" t="str">
        <f>CONCATENATE(E4," 총점")</f>
        <v>학교 B 총점</v>
      </c>
      <c r="B14" s="15">
        <f>ROUND(SUMPRODUCT(E5:E8,B5:B8)/5/B9*100,2)</f>
        <v>76</v>
      </c>
      <c r="C14" s="16" t="n"/>
      <c r="D14" s="15">
        <f>G9</f>
        <v>76</v>
      </c>
      <c r="E14" s="16" t="n"/>
      <c r="F14" s="17">
        <f>ROUND(D14-B14,2)</f>
        <v>0</v>
      </c>
      <c r="G14" s="16" t="n"/>
    </row>
    <row r="15" ht="32" customHeight="1">
      <c r="A15" s="14" t="inlineStr">
        <is>
          <t>승자</t>
        </is>
      </c>
      <c r="B15" s="18" t="str">
        <f>IF(B13&gt;B14,D4,IF(B14&gt;B13,E4,"동점"))</f>
        <v>학교 B</v>
      </c>
      <c r="C15" s="16" t="n"/>
      <c r="D15" s="19" t="str">
        <f>IF(D13&gt;D14,D4,IF(D14&gt;D13,E4,"동점"))</f>
        <v>학교 B</v>
      </c>
      <c r="E15" s="16" t="n"/>
      <c r="F15" s="18" t="str">
        <f>IF(B15=D15,"그대로","뒤집힘!")</f>
        <v>그대로</v>
      </c>
      <c r="G15" s="16" t="n"/>
    </row>
    <row r="16" ht="26" customHeight="1">
      <c r="A16" s="14" t="inlineStr">
        <is>
          <t>점수 차</t>
        </is>
      </c>
      <c r="B16" s="15">
        <f>ROUND(ABS(B13-B14),2)</f>
        <v>5</v>
      </c>
      <c r="C16" s="16" t="n"/>
      <c r="D16" s="15">
        <f>ROUND(ABS(D13-D14),2)</f>
        <v>5</v>
      </c>
      <c r="E16" s="16" t="n"/>
      <c r="F16" s="17">
        <f>ROUND(D16-B16,2)</f>
        <v>0</v>
      </c>
      <c r="G16" s="16" t="n"/>
    </row>
    <row r="18">
      <c r="A18" s="20" t="inlineStr">
        <is>
          <t>계산 방식</t>
        </is>
      </c>
    </row>
    <row r="19">
      <c r="A19" s="21" t="inlineStr">
        <is>
          <t>• 앱 공식 (rubric.py): 영역 환산 점수 = 획득 점수 ÷ 5 × 가중치, 총점 = 네 영역의 합</t>
        </is>
      </c>
    </row>
    <row r="20">
      <c r="A20" s="21" t="inlineStr">
        <is>
          <t>• 현재 가중치 합계가 100이 아니어도 100점 만점으로 정규화해 비교합니다</t>
        </is>
      </c>
    </row>
    <row r="21">
      <c r="A21" s="21" t="inlineStr">
        <is>
          <t>• 예시 점수는 데모용입니다. 무대에서 실제 분석 결과(영역별 1~5점)로 덮어쓰세요</t>
        </is>
      </c>
    </row>
  </sheetData>
  <mergeCells count="22">
    <mergeCell ref="B16:C16"/>
    <mergeCell ref="F16:G16"/>
    <mergeCell ref="B3:C3"/>
    <mergeCell ref="B12:C12"/>
    <mergeCell ref="F3:G3"/>
    <mergeCell ref="F12:G12"/>
    <mergeCell ref="F15:G15"/>
    <mergeCell ref="D13:E13"/>
    <mergeCell ref="A3:A4"/>
    <mergeCell ref="B14:C14"/>
    <mergeCell ref="A11:G11"/>
    <mergeCell ref="B13:C13"/>
    <mergeCell ref="D16:E16"/>
    <mergeCell ref="A1:G1"/>
    <mergeCell ref="F13:G13"/>
    <mergeCell ref="D3:E3"/>
    <mergeCell ref="D12:E12"/>
    <mergeCell ref="B15:C15"/>
    <mergeCell ref="D15:E15"/>
    <mergeCell ref="D14:E14"/>
    <mergeCell ref="A2:G2"/>
    <mergeCell ref="F14:G14"/>
  </mergeCells>
  <conditionalFormatting sqref="C5:C8">
    <cfRule type="expression" priority="1" dxfId="0">
      <formula>C5&lt;&gt;B5</formula>
    </cfRule>
  </conditionalFormatting>
  <conditionalFormatting sqref="C9">
    <cfRule type="expression" priority="2" dxfId="1">
      <formula>C9&lt;&gt;100</formula>
    </cfRule>
  </conditionalFormatting>
  <conditionalFormatting sqref="F5:F9">
    <cfRule type="expression" priority="3" dxfId="2">
      <formula>F5&gt;G5</formula>
    </cfRule>
  </conditionalFormatting>
  <conditionalFormatting sqref="G5:G9">
    <cfRule type="expression" priority="4" dxfId="2">
      <formula>G5&gt;F5</formula>
    </cfRule>
  </conditionalFormatting>
  <conditionalFormatting sqref="F15">
    <cfRule type="expression" priority="5" dxfId="3">
      <formula>F15="뒤집힘!"</formula>
    </cfRule>
  </conditionalFormatting>
  <dataValidations count="2">
    <dataValidation sqref="D5:E8" showDropDown="0" showInputMessage="1" showErrorMessage="1" allowBlank="0" errorTitle="점수 범위" error="점수는 1~5 사이 정수로 입력하세요" promptTitle="점수" prompt="1~5 사이 정수" type="whole" operator="between">
      <formula1>1</formula1>
      <formula2>5</formula2>
    </dataValidation>
    <dataValidation sqref="C5:C8" showDropDown="0" showInputMessage="1" showErrorMessage="1" allowBlank="0" errorTitle="가중치 범위" error="가중치는 0~100 사이 정수로 입력하세요" promptTitle="가중치" prompt="0~100 사이 정수" type="whole" operator="between">
      <formula1>0</formula1>
      <formula2>100</formula2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2026-10-18T08:17:21Z</dcterms:created>
  <dcterms:modified xmlns:dcterms="http://purl.org/dc/terms/" xmlns:xsi="http://www.w3.org/2001/XMLSchema-instance" xsi:type="dcterms:W3CDTF">2026-10-18T08:17:21Z</dcterms:modified>
</cp:coreProperties>
</file>